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001F4D"/>
      <sz val="16"/>
    </font>
    <font>
      <i val="1"/>
      <color rgb="00666666"/>
      <sz val="10"/>
    </font>
    <font>
      <b val="1"/>
      <color rgb="00FFFFFF"/>
    </font>
    <font>
      <b val="1"/>
      <color rgb="00001F4D"/>
      <sz val="11"/>
    </font>
    <font>
      <color rgb="002D2D2D"/>
    </font>
    <font>
      <name val="Consolas"/>
      <b val="1"/>
      <color rgb="00001F4D"/>
    </font>
    <font>
      <name val="Consolas"/>
      <color rgb="00666666"/>
    </font>
    <font>
      <b val="1"/>
      <color rgb="00001F4D"/>
    </font>
    <font>
      <name val="Consolas"/>
      <color rgb="002D2D2D"/>
    </font>
    <font>
      <i val="1"/>
      <color rgb="00666666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001F4D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" fontId="6" fillId="0" borderId="0" pivotButton="0" quotePrefix="0" xfId="0"/>
    <xf numFmtId="0" fontId="7" fillId="0" borderId="0" pivotButton="0" quotePrefix="0" xfId="0"/>
    <xf numFmtId="164" fontId="6" fillId="0" borderId="0" pivotButton="0" quotePrefix="0" xfId="0"/>
    <xf numFmtId="0" fontId="3" fillId="2" borderId="0" applyAlignment="1" pivotButton="0" quotePrefix="0" xfId="0">
      <alignment horizontal="center" wrapText="1"/>
    </xf>
    <xf numFmtId="0" fontId="8" fillId="0" borderId="0" pivotButton="0" quotePrefix="0" xfId="0"/>
    <xf numFmtId="1" fontId="9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installed capex  ($M)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'Comparison'!B3</f>
            </strRef>
          </tx>
          <spPr>
            <a:solidFill xmlns:a="http://schemas.openxmlformats.org/drawingml/2006/main">
              <a:srgbClr val="001F4D"/>
            </a:solidFill>
            <a:ln xmlns:a="http://schemas.openxmlformats.org/drawingml/2006/main">
              <a:solidFill>
                <a:srgbClr val="001F4D"/>
              </a:solidFill>
              <a:prstDash val="solid"/>
            </a:ln>
          </spPr>
          <cat>
            <numRef>
              <f>'Comparison'!$A$4:$A$5</f>
            </numRef>
          </cat>
          <val>
            <numRef>
              <f>'Comparison'!$B$4:$B$5</f>
            </numRef>
          </val>
        </ser>
        <ser>
          <idx val="1"/>
          <order val="1"/>
          <tx>
            <strRef>
              <f>'Comparison'!C3</f>
            </strRef>
          </tx>
          <spPr>
            <a:solidFill xmlns:a="http://schemas.openxmlformats.org/drawingml/2006/main">
              <a:srgbClr val="2D2D2D"/>
            </a:solidFill>
            <a:ln xmlns:a="http://schemas.openxmlformats.org/drawingml/2006/main">
              <a:solidFill>
                <a:srgbClr val="2D2D2D"/>
              </a:solidFill>
              <a:prstDash val="solid"/>
            </a:ln>
          </spPr>
          <cat>
            <numRef>
              <f>'Comparison'!$A$4:$A$5</f>
            </numRef>
          </cat>
          <val>
            <numRef>
              <f>'Comparison'!$C$4:$C$5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38" customWidth="1" min="4" max="4"/>
  </cols>
  <sheetData>
    <row r="1">
      <c r="A1" s="1" t="inlineStr">
        <is>
          <t>Nouaceur DC peak-shaving — BESS vs Transmission upgrade</t>
        </is>
      </c>
    </row>
    <row r="2">
      <c r="A2" s="2" t="inlineStr">
        <is>
          <t>Inputs and assumptions  |  Source: BloombergNEF 2025 BESS Cost Survey, ONEE/EIB-KfW, World Bank MENA HV benchmarks, ACWA/MASEN Noor Midelt II/III auction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</t>
        </is>
      </c>
    </row>
    <row r="5">
      <c r="A5" s="4" t="inlineStr">
        <is>
          <t>SIZING</t>
        </is>
      </c>
      <c r="B5" s="5" t="n"/>
      <c r="C5" s="5" t="n"/>
      <c r="D5" s="5" t="n"/>
    </row>
    <row r="6">
      <c r="A6" s="6" t="inlineStr">
        <is>
          <t>IT load (Nouaceur DC)</t>
        </is>
      </c>
      <c r="B6" s="7" t="n">
        <v>500</v>
      </c>
      <c r="C6" s="8" t="inlineStr">
        <is>
          <t>MW</t>
        </is>
      </c>
      <c r="D6" s="2" t="inlineStr">
        <is>
          <t>First-article sizing</t>
        </is>
      </c>
    </row>
    <row r="7">
      <c r="A7" s="6" t="inlineStr">
        <is>
          <t>Target grid connection (post-shave)</t>
        </is>
      </c>
      <c r="B7" s="7" t="n">
        <v>350</v>
      </c>
      <c r="C7" s="8" t="inlineStr">
        <is>
          <t>MW</t>
        </is>
      </c>
      <c r="D7" s="2" t="inlineStr">
        <is>
          <t>Stated objective</t>
        </is>
      </c>
    </row>
    <row r="8">
      <c r="A8" s="6" t="inlineStr">
        <is>
          <t>Peak shaved by BESS</t>
        </is>
      </c>
      <c r="B8" s="7" t="n">
        <v>150</v>
      </c>
      <c r="C8" s="8" t="inlineStr">
        <is>
          <t>MW</t>
        </is>
      </c>
      <c r="D8" s="2" t="inlineStr">
        <is>
          <t>500 – 350</t>
        </is>
      </c>
    </row>
    <row r="9">
      <c r="A9" s="6" t="inlineStr">
        <is>
          <t>BESS power</t>
        </is>
      </c>
      <c r="B9" s="7" t="n">
        <v>50</v>
      </c>
      <c r="C9" s="8" t="inlineStr">
        <is>
          <t>MW</t>
        </is>
      </c>
      <c r="D9" s="2" t="inlineStr">
        <is>
          <t>Co-located</t>
        </is>
      </c>
    </row>
    <row r="10">
      <c r="A10" s="6" t="inlineStr">
        <is>
          <t>BESS energy</t>
        </is>
      </c>
      <c r="B10" s="7" t="n">
        <v>200</v>
      </c>
      <c r="C10" s="8" t="inlineStr">
        <is>
          <t>MWh</t>
        </is>
      </c>
      <c r="D10" s="2" t="inlineStr">
        <is>
          <t>4-hr equivalent</t>
        </is>
      </c>
    </row>
    <row r="11">
      <c r="A11" s="4" t="inlineStr"/>
      <c r="B11" s="5" t="n"/>
      <c r="C11" s="5" t="n"/>
      <c r="D11" s="5" t="n"/>
    </row>
    <row r="12">
      <c r="A12" s="4" t="inlineStr">
        <is>
          <t>BESS UNIT COSTS</t>
        </is>
      </c>
      <c r="B12" s="5" t="n"/>
      <c r="C12" s="5" t="n"/>
      <c r="D12" s="5" t="n"/>
    </row>
    <row r="13">
      <c r="A13" s="6" t="inlineStr">
        <is>
          <t>BNEF 2025 global avg installed cost</t>
        </is>
      </c>
      <c r="B13" s="7" t="n">
        <v>110</v>
      </c>
      <c r="C13" s="8" t="inlineStr">
        <is>
          <t>$/kWh</t>
        </is>
      </c>
      <c r="D13" s="2" t="inlineStr">
        <is>
          <t>BloombergNEF 2025</t>
        </is>
      </c>
    </row>
    <row r="14">
      <c r="A14" s="6" t="inlineStr">
        <is>
          <t>Hardware cost (= 200 MWh × $110/kWh)</t>
        </is>
      </c>
      <c r="B14" s="9" t="n">
        <v>22</v>
      </c>
      <c r="C14" s="8" t="inlineStr">
        <is>
          <t>$M</t>
        </is>
      </c>
      <c r="D14" s="2" t="inlineStr">
        <is>
          <t>Computed</t>
        </is>
      </c>
    </row>
    <row r="15">
      <c r="A15" s="6" t="inlineStr">
        <is>
          <t>Morocco premium low</t>
        </is>
      </c>
      <c r="B15" s="9" t="n">
        <v>28</v>
      </c>
      <c r="C15" s="8" t="inlineStr">
        <is>
          <t>$M</t>
        </is>
      </c>
      <c r="D15" s="2" t="inlineStr">
        <is>
          <t>Import duty, EPC, WACC 7-9%</t>
        </is>
      </c>
    </row>
    <row r="16">
      <c r="A16" s="6" t="inlineStr">
        <is>
          <t>Morocco premium high</t>
        </is>
      </c>
      <c r="B16" s="9" t="n">
        <v>32</v>
      </c>
      <c r="C16" s="8" t="inlineStr">
        <is>
          <t>$M</t>
        </is>
      </c>
      <c r="D16" s="2" t="inlineStr">
        <is>
          <t>Import duty, EPC, WACC 7-9%</t>
        </is>
      </c>
    </row>
    <row r="17">
      <c r="A17" s="4" t="inlineStr"/>
      <c r="B17" s="5" t="n"/>
      <c r="C17" s="5" t="n"/>
      <c r="D17" s="5" t="n"/>
    </row>
    <row r="18">
      <c r="A18" s="4" t="inlineStr">
        <is>
          <t>TRANSMISSION UNIT COSTS</t>
        </is>
      </c>
      <c r="B18" s="5" t="n"/>
      <c r="C18" s="5" t="n"/>
      <c r="D18" s="5" t="n"/>
    </row>
    <row r="19">
      <c r="A19" s="6" t="inlineStr">
        <is>
          <t>Reinforcement size low</t>
        </is>
      </c>
      <c r="B19" s="7" t="n">
        <v>100</v>
      </c>
      <c r="C19" s="8" t="inlineStr">
        <is>
          <t>MW</t>
        </is>
      </c>
      <c r="D19" s="2" t="inlineStr">
        <is>
          <t>Casablanca southern ring</t>
        </is>
      </c>
    </row>
    <row r="20">
      <c r="A20" s="6" t="inlineStr">
        <is>
          <t>Reinforcement size high</t>
        </is>
      </c>
      <c r="B20" s="7" t="n">
        <v>150</v>
      </c>
      <c r="C20" s="8" t="inlineStr">
        <is>
          <t>MW</t>
        </is>
      </c>
      <c r="D20" s="2" t="inlineStr">
        <is>
          <t>Casablanca southern ring</t>
        </is>
      </c>
    </row>
    <row r="21">
      <c r="A21" s="6" t="inlineStr">
        <is>
          <t>Capex per MW low</t>
        </is>
      </c>
      <c r="B21" s="9" t="n">
        <v>1</v>
      </c>
      <c r="C21" s="8" t="inlineStr">
        <is>
          <t>$M/MW</t>
        </is>
      </c>
      <c r="D21" s="2" t="inlineStr">
        <is>
          <t>World Bank MENA HV</t>
        </is>
      </c>
    </row>
    <row r="22">
      <c r="A22" s="6" t="inlineStr">
        <is>
          <t>Capex per MW high</t>
        </is>
      </c>
      <c r="B22" s="9" t="n">
        <v>2</v>
      </c>
      <c r="C22" s="8" t="inlineStr">
        <is>
          <t>$M/MW</t>
        </is>
      </c>
      <c r="D22" s="2" t="inlineStr">
        <is>
          <t>World Bank MENA HV</t>
        </is>
      </c>
    </row>
    <row r="23">
      <c r="A23" s="6" t="inlineStr">
        <is>
          <t>Total capex low</t>
        </is>
      </c>
      <c r="B23" s="7" t="n">
        <v>100</v>
      </c>
      <c r="C23" s="8" t="inlineStr">
        <is>
          <t>$M</t>
        </is>
      </c>
      <c r="D23" s="2" t="inlineStr">
        <is>
          <t>100 MW × $1M/MW</t>
        </is>
      </c>
    </row>
    <row r="24">
      <c r="A24" s="6" t="inlineStr">
        <is>
          <t>Total capex high</t>
        </is>
      </c>
      <c r="B24" s="7" t="n">
        <v>300</v>
      </c>
      <c r="C24" s="8" t="inlineStr">
        <is>
          <t>$M</t>
        </is>
      </c>
      <c r="D24" s="2" t="inlineStr">
        <is>
          <t>150 MW × $2M/MW</t>
        </is>
      </c>
    </row>
    <row r="25">
      <c r="A25" s="4" t="inlineStr"/>
      <c r="B25" s="5" t="n"/>
      <c r="C25" s="5" t="n"/>
      <c r="D25" s="5" t="n"/>
    </row>
    <row r="26">
      <c r="A26" s="4" t="inlineStr">
        <is>
          <t>REFERENCE BENCHMARKS ($/MWh)</t>
        </is>
      </c>
      <c r="B26" s="5" t="n"/>
      <c r="C26" s="5" t="n"/>
      <c r="D26" s="5" t="n"/>
    </row>
    <row r="27">
      <c r="A27" s="6" t="inlineStr">
        <is>
          <t>BNEF global LCOS, 4-hr standalone</t>
        </is>
      </c>
      <c r="B27" s="7" t="n">
        <v>78</v>
      </c>
      <c r="C27" s="8" t="inlineStr">
        <is>
          <t>$/MWh</t>
        </is>
      </c>
      <c r="D27" s="2" t="inlineStr">
        <is>
          <t>BloombergNEF 2025</t>
        </is>
      </c>
    </row>
    <row r="28">
      <c r="A28" s="6" t="inlineStr">
        <is>
          <t>Noor Midelt II — PV+BESS PPA</t>
        </is>
      </c>
      <c r="B28" s="9" t="n">
        <v>32.5</v>
      </c>
      <c r="C28" s="8" t="inlineStr">
        <is>
          <t>$/MWh</t>
        </is>
      </c>
      <c r="D28" s="2" t="inlineStr">
        <is>
          <t>ACWA Power / MASEN, Aug 2025</t>
        </is>
      </c>
    </row>
    <row r="29">
      <c r="A29" s="6" t="inlineStr">
        <is>
          <t>Noor Midelt III — PV+BESS PPA</t>
        </is>
      </c>
      <c r="B29" s="9" t="n">
        <v>36.5</v>
      </c>
      <c r="C29" s="8" t="inlineStr">
        <is>
          <t>$/MWh</t>
        </is>
      </c>
      <c r="D29" s="2" t="inlineStr">
        <is>
          <t>ACWA Power / MASEN, Aug 2025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BESS vs Transmission — capex and $/peak-MW</t>
        </is>
      </c>
    </row>
    <row r="3">
      <c r="A3" s="10" t="inlineStr">
        <is>
          <t>Option</t>
        </is>
      </c>
      <c r="B3" s="10" t="inlineStr">
        <is>
          <t>Capex low ($M)</t>
        </is>
      </c>
      <c r="C3" s="10" t="inlineStr">
        <is>
          <t>Capex high ($M)</t>
        </is>
      </c>
      <c r="D3" s="10" t="inlineStr">
        <is>
          <t>$/peak-MW low ($k/MW)</t>
        </is>
      </c>
      <c r="E3" s="10" t="inlineStr">
        <is>
          <t>$/peak-MW high ($k/MW)</t>
        </is>
      </c>
    </row>
    <row r="4">
      <c r="A4" s="11" t="inlineStr">
        <is>
          <t>BESS (200 MWh / 50 MW)</t>
        </is>
      </c>
      <c r="B4" s="12" t="n">
        <v>28</v>
      </c>
      <c r="C4" s="12" t="n">
        <v>32</v>
      </c>
      <c r="D4" s="12" t="n">
        <v>187</v>
      </c>
      <c r="E4" s="12" t="n">
        <v>213</v>
      </c>
    </row>
    <row r="5">
      <c r="A5" s="11" t="inlineStr">
        <is>
          <t>Transmission upgrade (100–150 MW)</t>
        </is>
      </c>
      <c r="B5" s="12" t="n">
        <v>100</v>
      </c>
      <c r="C5" s="12" t="n">
        <v>300</v>
      </c>
      <c r="D5" s="12" t="n">
        <v>1000</v>
      </c>
      <c r="E5" s="12" t="n">
        <v>2000</v>
      </c>
    </row>
    <row r="7">
      <c r="A7" s="11" t="inlineStr">
        <is>
          <t>Cost gap ($/peak-MW)</t>
        </is>
      </c>
      <c r="B7" s="11" t="inlineStr">
        <is>
          <t>≈ 5–11×</t>
        </is>
      </c>
      <c r="C7" s="13" t="inlineStr">
        <is>
          <t>Transmission $/MW ÷ BESS $/MW</t>
        </is>
      </c>
    </row>
    <row r="30" ht="18" customHeight="1">
      <c r="A30" s="14" t="inlineStr">
        <is>
          <t>BESS capex: $110/kWh BNEF 2025 global avg × 200 MWh = $22M hardware; $28–32M reflects Morocco import duty on Li cells, EPC margin, WACC 7–9% (vs 4–5% EU). Transmission capex: $1–2M/peak-MW (World Bank MENA HV benchmark; cross-checked vs ONEE/EIB-KfW 2024 €300M for 730 km package).</t>
        </is>
      </c>
    </row>
    <row r="31"/>
    <row r="32"/>
    <row r="33"/>
  </sheetData>
  <mergeCells count="3">
    <mergeCell ref="C7:E7"/>
    <mergeCell ref="A30:E33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2026-05-22T11:58:03Z</dcterms:created>
  <dcterms:modified xmlns:dcterms="http://purl.org/dc/terms/" xmlns:xsi="http://www.w3.org/2001/XMLSchema-instance" xsi:type="dcterms:W3CDTF">2026-05-22T11:58:03Z</dcterms:modified>
</cp:coreProperties>
</file>